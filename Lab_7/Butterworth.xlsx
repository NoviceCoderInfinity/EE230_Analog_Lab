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pa\Desktop\IIT LECTURES\Sem-4\EE 230 Analog Lab\Lab_6_\"/>
    </mc:Choice>
  </mc:AlternateContent>
  <xr:revisionPtr revIDLastSave="0" documentId="8_{99BCB2BB-D5D4-4EE8-9E9F-AE103BABE303}" xr6:coauthVersionLast="47" xr6:coauthVersionMax="47" xr10:uidLastSave="{00000000-0000-0000-0000-000000000000}"/>
  <bookViews>
    <workbookView xWindow="-120" yWindow="-120" windowWidth="29040" windowHeight="16440" xr2:uid="{43D31DBD-48B2-4EE9-BCD4-9F846DF9FD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1" l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C3" i="1"/>
  <c r="C2" i="1"/>
  <c r="D2" i="1"/>
  <c r="B2" i="1"/>
</calcChain>
</file>

<file path=xl/sharedStrings.xml><?xml version="1.0" encoding="utf-8"?>
<sst xmlns="http://schemas.openxmlformats.org/spreadsheetml/2006/main" count="4" uniqueCount="4">
  <si>
    <t>freq</t>
  </si>
  <si>
    <t>v_o</t>
  </si>
  <si>
    <t>log(freq)</t>
  </si>
  <si>
    <t>20log(v_o)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</si>
</sst>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05CE2-E833-4981-8532-62B4B008AB16}">
  <dimension ref="A1:D47"/>
  <sheetViews>
    <sheetView tabSelected="1" zoomScale="108" workbookViewId="0">
      <selection activeCell="F62" sqref="F62"/>
    </sheetView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</v>
      </c>
      <c r="D1" t="s">
        <v>3</v>
      </c>
    </row>
    <row r="2" spans="1:4" x14ac:dyDescent="0.25">
      <c r="A2">
        <v>10</v>
      </c>
      <c r="B2">
        <f>LOG(A2)</f>
        <v>1</v>
      </c>
      <c r="C2">
        <f>820/1000</f>
        <v>0.82</v>
      </c>
      <c r="D2">
        <f>20*LOG(C2)</f>
        <v>-1.7237229523256667</v>
      </c>
    </row>
    <row r="3" spans="1:4" x14ac:dyDescent="0.25">
      <c r="A3">
        <v>20</v>
      </c>
      <c r="B3">
        <f t="shared" ref="B3:B56" si="0">LOG(A3)</f>
        <v>1.3010299956639813</v>
      </c>
      <c r="C3">
        <f>0.94</f>
        <v>0.94</v>
      </c>
      <c r="D3">
        <f t="shared" ref="D3:D60" si="1">20*LOG(C3)</f>
        <v>-0.53744292800602733</v>
      </c>
    </row>
    <row r="4" spans="1:4" x14ac:dyDescent="0.25">
      <c r="A4">
        <v>30</v>
      </c>
      <c r="B4">
        <f t="shared" si="0"/>
        <v>1.4771212547196624</v>
      </c>
      <c r="C4">
        <v>0.98</v>
      </c>
      <c r="D4">
        <f t="shared" si="1"/>
        <v>-0.175478486150103</v>
      </c>
    </row>
    <row r="5" spans="1:4" x14ac:dyDescent="0.25">
      <c r="A5">
        <v>40</v>
      </c>
      <c r="B5">
        <f t="shared" si="0"/>
        <v>1.6020599913279623</v>
      </c>
      <c r="C5">
        <v>0.98</v>
      </c>
      <c r="D5">
        <f t="shared" si="1"/>
        <v>-0.175478486150103</v>
      </c>
    </row>
    <row r="6" spans="1:4" x14ac:dyDescent="0.25">
      <c r="A6">
        <v>50</v>
      </c>
      <c r="B6">
        <f t="shared" si="0"/>
        <v>1.6989700043360187</v>
      </c>
      <c r="C6">
        <v>1</v>
      </c>
      <c r="D6">
        <f t="shared" si="1"/>
        <v>0</v>
      </c>
    </row>
    <row r="7" spans="1:4" x14ac:dyDescent="0.25">
      <c r="A7">
        <v>100</v>
      </c>
      <c r="B7">
        <f t="shared" si="0"/>
        <v>2</v>
      </c>
      <c r="C7">
        <v>1.02</v>
      </c>
      <c r="D7">
        <f t="shared" si="1"/>
        <v>0.17200343523835138</v>
      </c>
    </row>
    <row r="8" spans="1:4" x14ac:dyDescent="0.25">
      <c r="A8">
        <v>150</v>
      </c>
      <c r="B8">
        <f t="shared" si="0"/>
        <v>2.1760912590556813</v>
      </c>
      <c r="C8">
        <v>1</v>
      </c>
      <c r="D8">
        <f t="shared" si="1"/>
        <v>0</v>
      </c>
    </row>
    <row r="9" spans="1:4" x14ac:dyDescent="0.25">
      <c r="A9">
        <v>200</v>
      </c>
      <c r="B9">
        <f t="shared" si="0"/>
        <v>2.3010299956639813</v>
      </c>
      <c r="C9">
        <v>1</v>
      </c>
      <c r="D9">
        <f t="shared" si="1"/>
        <v>0</v>
      </c>
    </row>
    <row r="10" spans="1:4" x14ac:dyDescent="0.25">
      <c r="A10">
        <v>250</v>
      </c>
      <c r="B10">
        <f t="shared" si="0"/>
        <v>2.3979400086720375</v>
      </c>
      <c r="C10">
        <v>1</v>
      </c>
      <c r="D10">
        <f t="shared" si="1"/>
        <v>0</v>
      </c>
    </row>
    <row r="11" spans="1:4" x14ac:dyDescent="0.25">
      <c r="A11">
        <v>300</v>
      </c>
      <c r="B11">
        <f t="shared" si="0"/>
        <v>2.4771212547196626</v>
      </c>
      <c r="C11">
        <v>1</v>
      </c>
      <c r="D11">
        <f t="shared" si="1"/>
        <v>0</v>
      </c>
    </row>
    <row r="12" spans="1:4" x14ac:dyDescent="0.25">
      <c r="A12">
        <v>350</v>
      </c>
      <c r="B12">
        <f t="shared" si="0"/>
        <v>2.5440680443502757</v>
      </c>
      <c r="C12">
        <v>0.98</v>
      </c>
      <c r="D12">
        <f t="shared" si="1"/>
        <v>-0.175478486150103</v>
      </c>
    </row>
    <row r="13" spans="1:4" x14ac:dyDescent="0.25">
      <c r="A13">
        <v>400</v>
      </c>
      <c r="B13">
        <f t="shared" si="0"/>
        <v>2.6020599913279625</v>
      </c>
      <c r="C13">
        <v>0.94</v>
      </c>
      <c r="D13">
        <f t="shared" si="1"/>
        <v>-0.53744292800602733</v>
      </c>
    </row>
    <row r="14" spans="1:4" x14ac:dyDescent="0.25">
      <c r="A14">
        <v>450</v>
      </c>
      <c r="B14">
        <f t="shared" si="0"/>
        <v>2.6532125137753435</v>
      </c>
      <c r="C14">
        <v>0.94</v>
      </c>
      <c r="D14">
        <f t="shared" si="1"/>
        <v>-0.53744292800602733</v>
      </c>
    </row>
    <row r="15" spans="1:4" x14ac:dyDescent="0.25">
      <c r="A15">
        <v>500</v>
      </c>
      <c r="B15">
        <f t="shared" si="0"/>
        <v>2.6989700043360187</v>
      </c>
      <c r="C15">
        <v>0.94</v>
      </c>
      <c r="D15">
        <f t="shared" si="1"/>
        <v>-0.53744292800602733</v>
      </c>
    </row>
    <row r="16" spans="1:4" x14ac:dyDescent="0.25">
      <c r="A16">
        <v>550</v>
      </c>
      <c r="B16">
        <f t="shared" si="0"/>
        <v>2.7403626894942437</v>
      </c>
      <c r="C16">
        <v>0.9</v>
      </c>
      <c r="D16">
        <f t="shared" si="1"/>
        <v>-0.91514981121350236</v>
      </c>
    </row>
    <row r="17" spans="1:4" x14ac:dyDescent="0.25">
      <c r="A17">
        <v>600</v>
      </c>
      <c r="B17">
        <f t="shared" si="0"/>
        <v>2.7781512503836434</v>
      </c>
      <c r="C17">
        <v>0.88</v>
      </c>
      <c r="D17">
        <f t="shared" si="1"/>
        <v>-1.1103465569966273</v>
      </c>
    </row>
    <row r="18" spans="1:4" x14ac:dyDescent="0.25">
      <c r="A18">
        <v>650</v>
      </c>
      <c r="B18">
        <f t="shared" si="0"/>
        <v>2.8129133566428557</v>
      </c>
      <c r="C18">
        <v>0.86</v>
      </c>
      <c r="D18">
        <f t="shared" si="1"/>
        <v>-1.3100309751286456</v>
      </c>
    </row>
    <row r="19" spans="1:4" x14ac:dyDescent="0.25">
      <c r="A19">
        <v>700</v>
      </c>
      <c r="B19">
        <f t="shared" si="0"/>
        <v>2.8450980400142569</v>
      </c>
      <c r="C19">
        <v>0.82</v>
      </c>
      <c r="D19">
        <f t="shared" si="1"/>
        <v>-1.7237229523256667</v>
      </c>
    </row>
    <row r="20" spans="1:4" x14ac:dyDescent="0.25">
      <c r="A20">
        <v>750</v>
      </c>
      <c r="B20">
        <f t="shared" si="0"/>
        <v>2.8750612633917001</v>
      </c>
      <c r="C20">
        <v>0.82</v>
      </c>
      <c r="D20">
        <f t="shared" si="1"/>
        <v>-1.7237229523256667</v>
      </c>
    </row>
    <row r="21" spans="1:4" x14ac:dyDescent="0.25">
      <c r="A21">
        <v>800</v>
      </c>
      <c r="B21">
        <f t="shared" si="0"/>
        <v>2.9030899869919438</v>
      </c>
      <c r="C21">
        <v>0.78</v>
      </c>
      <c r="D21">
        <f t="shared" si="1"/>
        <v>-2.1581079461903916</v>
      </c>
    </row>
    <row r="22" spans="1:4" x14ac:dyDescent="0.25">
      <c r="A22">
        <v>900</v>
      </c>
      <c r="B22">
        <f t="shared" si="0"/>
        <v>2.9542425094393248</v>
      </c>
      <c r="C22">
        <v>0.72</v>
      </c>
      <c r="D22">
        <f t="shared" si="1"/>
        <v>-2.8533500713746314</v>
      </c>
    </row>
    <row r="23" spans="1:4" x14ac:dyDescent="0.25">
      <c r="A23">
        <v>1000</v>
      </c>
      <c r="B23">
        <f t="shared" si="0"/>
        <v>3</v>
      </c>
      <c r="C23">
        <v>0.66</v>
      </c>
      <c r="D23">
        <f t="shared" si="1"/>
        <v>-3.6091212891626263</v>
      </c>
    </row>
    <row r="24" spans="1:4" x14ac:dyDescent="0.25">
      <c r="A24">
        <v>1100</v>
      </c>
      <c r="B24">
        <f t="shared" si="0"/>
        <v>3.0413926851582249</v>
      </c>
      <c r="C24">
        <v>0.57999999999999996</v>
      </c>
      <c r="D24">
        <f t="shared" si="1"/>
        <v>-4.7314401287412551</v>
      </c>
    </row>
    <row r="25" spans="1:4" x14ac:dyDescent="0.25">
      <c r="A25">
        <v>1200</v>
      </c>
      <c r="B25">
        <f t="shared" si="0"/>
        <v>3.0791812460476247</v>
      </c>
      <c r="C25">
        <v>0.54</v>
      </c>
      <c r="D25">
        <f t="shared" si="1"/>
        <v>-5.3521248035406286</v>
      </c>
    </row>
    <row r="26" spans="1:4" x14ac:dyDescent="0.25">
      <c r="A26">
        <v>1300</v>
      </c>
      <c r="B26">
        <f t="shared" si="0"/>
        <v>3.1139433523068369</v>
      </c>
      <c r="C26">
        <v>0.48</v>
      </c>
      <c r="D26">
        <f t="shared" si="1"/>
        <v>-6.3751752524882557</v>
      </c>
    </row>
    <row r="27" spans="1:4" x14ac:dyDescent="0.25">
      <c r="A27">
        <v>1400</v>
      </c>
      <c r="B27">
        <f t="shared" si="0"/>
        <v>3.1461280356782382</v>
      </c>
      <c r="C27">
        <v>0.44</v>
      </c>
      <c r="D27">
        <f t="shared" si="1"/>
        <v>-7.1309464702762515</v>
      </c>
    </row>
    <row r="28" spans="1:4" x14ac:dyDescent="0.25">
      <c r="A28">
        <v>1500</v>
      </c>
      <c r="B28">
        <f t="shared" si="0"/>
        <v>3.1760912590556813</v>
      </c>
      <c r="C28">
        <v>0.38</v>
      </c>
      <c r="D28">
        <f t="shared" si="1"/>
        <v>-8.4043280676637959</v>
      </c>
    </row>
    <row r="29" spans="1:4" x14ac:dyDescent="0.25">
      <c r="A29">
        <v>1600</v>
      </c>
      <c r="B29">
        <f t="shared" si="0"/>
        <v>3.2041199826559246</v>
      </c>
      <c r="C29">
        <v>0.36</v>
      </c>
      <c r="D29">
        <f t="shared" si="1"/>
        <v>-8.8739499846542547</v>
      </c>
    </row>
    <row r="30" spans="1:4" x14ac:dyDescent="0.25">
      <c r="A30">
        <v>1700</v>
      </c>
      <c r="B30">
        <f t="shared" si="0"/>
        <v>3.2304489213782741</v>
      </c>
      <c r="C30">
        <v>0.34</v>
      </c>
      <c r="D30">
        <f t="shared" si="1"/>
        <v>-9.3704216591548963</v>
      </c>
    </row>
    <row r="31" spans="1:4" x14ac:dyDescent="0.25">
      <c r="A31">
        <v>1800</v>
      </c>
      <c r="B31">
        <f t="shared" si="0"/>
        <v>3.255272505103306</v>
      </c>
      <c r="C31">
        <v>0.3</v>
      </c>
      <c r="D31">
        <f t="shared" si="1"/>
        <v>-10.457574905606752</v>
      </c>
    </row>
    <row r="32" spans="1:4" x14ac:dyDescent="0.25">
      <c r="A32">
        <v>1900</v>
      </c>
      <c r="B32">
        <f t="shared" si="0"/>
        <v>3.2787536009528289</v>
      </c>
      <c r="C32">
        <v>0.28000000000000003</v>
      </c>
      <c r="D32">
        <f t="shared" si="1"/>
        <v>-11.056839373155615</v>
      </c>
    </row>
    <row r="33" spans="1:4" x14ac:dyDescent="0.25">
      <c r="A33">
        <v>2000</v>
      </c>
      <c r="B33">
        <f t="shared" si="0"/>
        <v>3.3010299956639813</v>
      </c>
      <c r="C33">
        <v>0.23599999999999999</v>
      </c>
      <c r="D33">
        <f t="shared" si="1"/>
        <v>-12.541759940597871</v>
      </c>
    </row>
    <row r="34" spans="1:4" x14ac:dyDescent="0.25">
      <c r="A34">
        <v>2250</v>
      </c>
      <c r="B34">
        <f t="shared" si="0"/>
        <v>3.3521825181113627</v>
      </c>
      <c r="C34">
        <v>0.19</v>
      </c>
      <c r="D34">
        <f t="shared" si="1"/>
        <v>-14.424927980943421</v>
      </c>
    </row>
    <row r="35" spans="1:4" x14ac:dyDescent="0.25">
      <c r="A35">
        <v>2500</v>
      </c>
      <c r="B35">
        <f t="shared" si="0"/>
        <v>3.3979400086720375</v>
      </c>
      <c r="C35">
        <v>0.158</v>
      </c>
      <c r="D35">
        <f t="shared" si="1"/>
        <v>-16.026858260911546</v>
      </c>
    </row>
    <row r="36" spans="1:4" x14ac:dyDescent="0.25">
      <c r="A36">
        <v>2750</v>
      </c>
      <c r="B36">
        <f t="shared" si="0"/>
        <v>3.4393326938302629</v>
      </c>
      <c r="C36">
        <v>0.13200000000000001</v>
      </c>
      <c r="D36">
        <f t="shared" si="1"/>
        <v>-17.588521375883001</v>
      </c>
    </row>
    <row r="37" spans="1:4" x14ac:dyDescent="0.25">
      <c r="A37">
        <v>3000</v>
      </c>
      <c r="B37">
        <f t="shared" si="0"/>
        <v>3.4771212547196626</v>
      </c>
      <c r="C37">
        <v>0.112</v>
      </c>
      <c r="D37">
        <f t="shared" si="1"/>
        <v>-19.015639546596368</v>
      </c>
    </row>
    <row r="38" spans="1:4" x14ac:dyDescent="0.25">
      <c r="A38">
        <v>3500</v>
      </c>
      <c r="B38">
        <f t="shared" si="0"/>
        <v>3.5440680443502757</v>
      </c>
      <c r="C38">
        <v>8.5999999999999993E-2</v>
      </c>
      <c r="D38">
        <f t="shared" si="1"/>
        <v>-21.310030975128647</v>
      </c>
    </row>
    <row r="39" spans="1:4" x14ac:dyDescent="0.25">
      <c r="A39">
        <v>4000</v>
      </c>
      <c r="B39">
        <f t="shared" si="0"/>
        <v>3.6020599913279625</v>
      </c>
      <c r="C39">
        <v>6.7000000000000004E-2</v>
      </c>
      <c r="D39">
        <f t="shared" si="1"/>
        <v>-23.478503945983469</v>
      </c>
    </row>
    <row r="40" spans="1:4" x14ac:dyDescent="0.25">
      <c r="A40">
        <v>4500</v>
      </c>
      <c r="B40">
        <f t="shared" si="0"/>
        <v>3.6532125137753435</v>
      </c>
      <c r="C40">
        <v>5.3999999999999999E-2</v>
      </c>
      <c r="D40">
        <f t="shared" si="1"/>
        <v>-25.352124803540633</v>
      </c>
    </row>
    <row r="41" spans="1:4" x14ac:dyDescent="0.25">
      <c r="A41">
        <v>5000</v>
      </c>
      <c r="B41">
        <f t="shared" si="0"/>
        <v>3.6989700043360187</v>
      </c>
      <c r="C41">
        <v>4.5999999999999999E-2</v>
      </c>
      <c r="D41">
        <f t="shared" si="1"/>
        <v>-26.744843366368517</v>
      </c>
    </row>
    <row r="42" spans="1:4" x14ac:dyDescent="0.25">
      <c r="A42">
        <v>5500</v>
      </c>
      <c r="B42">
        <f t="shared" si="0"/>
        <v>3.7403626894942437</v>
      </c>
      <c r="C42">
        <v>3.7999999999999999E-2</v>
      </c>
      <c r="D42">
        <f t="shared" si="1"/>
        <v>-28.404328067663798</v>
      </c>
    </row>
    <row r="43" spans="1:4" x14ac:dyDescent="0.25">
      <c r="A43">
        <v>6000</v>
      </c>
      <c r="B43">
        <f t="shared" si="0"/>
        <v>3.7781512503836434</v>
      </c>
      <c r="C43">
        <v>3.2000000000000001E-2</v>
      </c>
      <c r="D43">
        <f t="shared" si="1"/>
        <v>-29.897000433601878</v>
      </c>
    </row>
    <row r="44" spans="1:4" x14ac:dyDescent="0.25">
      <c r="A44">
        <v>7000</v>
      </c>
      <c r="B44">
        <f t="shared" si="0"/>
        <v>3.8450980400142569</v>
      </c>
      <c r="C44">
        <v>2.5000000000000001E-2</v>
      </c>
      <c r="D44">
        <f t="shared" si="1"/>
        <v>-32.041199826559243</v>
      </c>
    </row>
    <row r="45" spans="1:4" x14ac:dyDescent="0.25">
      <c r="A45">
        <v>8000</v>
      </c>
      <c r="B45">
        <f t="shared" si="0"/>
        <v>3.9030899869919438</v>
      </c>
      <c r="C45">
        <v>1.9599999999999999E-2</v>
      </c>
      <c r="D45">
        <f t="shared" si="1"/>
        <v>-34.15487857287048</v>
      </c>
    </row>
    <row r="46" spans="1:4" x14ac:dyDescent="0.25">
      <c r="A46">
        <v>9000</v>
      </c>
      <c r="B46">
        <f t="shared" si="0"/>
        <v>3.9542425094393248</v>
      </c>
      <c r="C46">
        <v>1.7600000000000001E-2</v>
      </c>
      <c r="D46">
        <f t="shared" si="1"/>
        <v>-35.089746643717</v>
      </c>
    </row>
    <row r="47" spans="1:4" x14ac:dyDescent="0.25">
      <c r="A47">
        <v>10000</v>
      </c>
      <c r="B47">
        <f t="shared" si="0"/>
        <v>4</v>
      </c>
      <c r="C47">
        <f>14/1000</f>
        <v>1.4E-2</v>
      </c>
      <c r="D47">
        <f t="shared" si="1"/>
        <v>-37.077439286435244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Rawat</dc:creator>
  <cp:lastModifiedBy>Anupam Rawat</cp:lastModifiedBy>
  <dcterms:created xsi:type="dcterms:W3CDTF">2024-02-16T08:53:26Z</dcterms:created>
  <dcterms:modified xsi:type="dcterms:W3CDTF">2024-02-16T11:15:38Z</dcterms:modified>
</cp:coreProperties>
</file>