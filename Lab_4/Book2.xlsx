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esktop\IIT LECTURES\Sem-4\EE 230 Analog Lab\Lab_4\"/>
    </mc:Choice>
  </mc:AlternateContent>
  <xr:revisionPtr revIDLastSave="0" documentId="8_{B62BFCA7-6439-491F-9D68-A7CB6C13E729}" xr6:coauthVersionLast="47" xr6:coauthVersionMax="47" xr10:uidLastSave="{00000000-0000-0000-0000-000000000000}"/>
  <bookViews>
    <workbookView xWindow="-120" yWindow="-120" windowWidth="29040" windowHeight="16440" xr2:uid="{87819BD0-D98B-4663-AD7C-BBE7A9A55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7" i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B7" i="1"/>
  <c r="D7" i="1" s="1"/>
  <c r="B5" i="1"/>
  <c r="D5" i="1" s="1"/>
  <c r="D6" i="1"/>
  <c r="D4" i="1"/>
  <c r="D3" i="1"/>
  <c r="D2" i="1"/>
  <c r="D1" i="1"/>
  <c r="B4" i="1"/>
  <c r="B3" i="1"/>
  <c r="B2" i="1"/>
  <c r="B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16E4-7F94-4E4E-8F49-E960A54F2873}">
  <dimension ref="A1:K24"/>
  <sheetViews>
    <sheetView tabSelected="1" workbookViewId="0">
      <selection activeCell="D17" sqref="D17"/>
    </sheetView>
  </sheetViews>
  <sheetFormatPr defaultRowHeight="15" x14ac:dyDescent="0.25"/>
  <sheetData>
    <row r="1" spans="1:4" x14ac:dyDescent="0.25">
      <c r="A1">
        <v>10</v>
      </c>
      <c r="B1">
        <v>800</v>
      </c>
      <c r="C1">
        <v>720</v>
      </c>
      <c r="D1">
        <f>B1/C1*K24</f>
        <v>1083.5055555555555</v>
      </c>
    </row>
    <row r="2" spans="1:4" x14ac:dyDescent="0.25">
      <c r="A2">
        <v>1</v>
      </c>
      <c r="B2">
        <f>5.6*1000</f>
        <v>5600</v>
      </c>
      <c r="C2">
        <v>680</v>
      </c>
      <c r="D2">
        <f>B2/C2*K24</f>
        <v>8030.6882352941166</v>
      </c>
    </row>
    <row r="3" spans="1:4" x14ac:dyDescent="0.25">
      <c r="A3">
        <v>500</v>
      </c>
      <c r="B3">
        <f>9.36*1000</f>
        <v>9360</v>
      </c>
      <c r="C3">
        <v>592</v>
      </c>
      <c r="D3">
        <f>B3/C3*K24</f>
        <v>15417.991216216216</v>
      </c>
    </row>
    <row r="4" spans="1:4" x14ac:dyDescent="0.25">
      <c r="A4">
        <v>100</v>
      </c>
      <c r="B4">
        <f>15*1000</f>
        <v>15000</v>
      </c>
      <c r="C4">
        <v>188</v>
      </c>
      <c r="D4">
        <f>B4/C4*K24</f>
        <v>77804.920212765952</v>
      </c>
    </row>
    <row r="5" spans="1:4" x14ac:dyDescent="0.25">
      <c r="A5">
        <v>20</v>
      </c>
      <c r="B5">
        <f>15.4*1000</f>
        <v>15400</v>
      </c>
      <c r="C5">
        <v>42</v>
      </c>
      <c r="D5">
        <f>B5/C5*K24</f>
        <v>357556.83333333331</v>
      </c>
    </row>
    <row r="6" spans="1:4" x14ac:dyDescent="0.25">
      <c r="A6">
        <v>10</v>
      </c>
      <c r="B6">
        <f>15.4*1000</f>
        <v>15400</v>
      </c>
      <c r="C6">
        <v>26</v>
      </c>
      <c r="D6">
        <f>B6/C6*K24</f>
        <v>577591.80769230763</v>
      </c>
    </row>
    <row r="7" spans="1:4" x14ac:dyDescent="0.25">
      <c r="A7">
        <v>9</v>
      </c>
      <c r="B7">
        <f>15.4*1000</f>
        <v>15400</v>
      </c>
      <c r="C7">
        <v>24</v>
      </c>
      <c r="D7">
        <f>B7/C7*K24</f>
        <v>625724.45833333326</v>
      </c>
    </row>
    <row r="8" spans="1:4" x14ac:dyDescent="0.25">
      <c r="A8">
        <v>8</v>
      </c>
      <c r="B8">
        <f t="shared" ref="B8:B15" si="0">15.4*1000</f>
        <v>15400</v>
      </c>
      <c r="C8">
        <v>21.6</v>
      </c>
      <c r="D8">
        <f>B8/C8*K24</f>
        <v>695249.39814814809</v>
      </c>
    </row>
    <row r="9" spans="1:4" x14ac:dyDescent="0.25">
      <c r="A9">
        <v>7</v>
      </c>
      <c r="B9">
        <f t="shared" si="0"/>
        <v>15400</v>
      </c>
      <c r="C9">
        <v>20.8</v>
      </c>
      <c r="D9">
        <f>B9/C9*K24</f>
        <v>721989.75961538462</v>
      </c>
    </row>
    <row r="10" spans="1:4" x14ac:dyDescent="0.25">
      <c r="A10">
        <v>6</v>
      </c>
      <c r="B10">
        <f t="shared" si="0"/>
        <v>15400</v>
      </c>
      <c r="C10">
        <v>19.2</v>
      </c>
      <c r="D10">
        <f>B10/C10*K24</f>
        <v>782155.57291666663</v>
      </c>
    </row>
    <row r="11" spans="1:4" x14ac:dyDescent="0.25">
      <c r="A11">
        <v>5</v>
      </c>
      <c r="B11">
        <f t="shared" si="0"/>
        <v>15400</v>
      </c>
      <c r="C11">
        <v>17.600000000000001</v>
      </c>
      <c r="D11">
        <f>B11/C11*K24</f>
        <v>853260.62499999988</v>
      </c>
    </row>
    <row r="12" spans="1:4" x14ac:dyDescent="0.25">
      <c r="A12">
        <v>4</v>
      </c>
      <c r="B12">
        <f t="shared" si="0"/>
        <v>15400</v>
      </c>
      <c r="C12">
        <v>16</v>
      </c>
      <c r="D12">
        <f>B12/C12*K24</f>
        <v>938586.6875</v>
      </c>
    </row>
    <row r="13" spans="1:4" x14ac:dyDescent="0.25">
      <c r="A13">
        <v>3</v>
      </c>
      <c r="B13">
        <f t="shared" si="0"/>
        <v>15400</v>
      </c>
      <c r="C13">
        <v>13.5</v>
      </c>
      <c r="D13">
        <f>B13/C13*K24</f>
        <v>1112399.0370370368</v>
      </c>
    </row>
    <row r="14" spans="1:4" x14ac:dyDescent="0.25">
      <c r="A14">
        <v>2</v>
      </c>
      <c r="B14">
        <f t="shared" si="0"/>
        <v>15400</v>
      </c>
      <c r="C14">
        <v>13.7</v>
      </c>
      <c r="D14">
        <f>B14/C14*K24</f>
        <v>1096159.6350364964</v>
      </c>
    </row>
    <row r="15" spans="1:4" x14ac:dyDescent="0.25">
      <c r="A15">
        <v>1</v>
      </c>
      <c r="B15">
        <f t="shared" si="0"/>
        <v>15400</v>
      </c>
      <c r="C15">
        <v>11.4</v>
      </c>
      <c r="D15">
        <f>B15/C15*K24</f>
        <v>1317314.649122807</v>
      </c>
    </row>
    <row r="16" spans="1:4" x14ac:dyDescent="0.25">
      <c r="D16">
        <f>D17/1.414</f>
        <v>931622.80701754382</v>
      </c>
    </row>
    <row r="17" spans="4:11" x14ac:dyDescent="0.25">
      <c r="D17">
        <f>MAX(D1:D15)</f>
        <v>1317314.649122807</v>
      </c>
    </row>
    <row r="24" spans="4:11" x14ac:dyDescent="0.25">
      <c r="K24">
        <v>975.15499999999997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Rawat</dc:creator>
  <cp:lastModifiedBy>Anupam Rawat</cp:lastModifiedBy>
  <dcterms:created xsi:type="dcterms:W3CDTF">2024-02-09T11:24:14Z</dcterms:created>
  <dcterms:modified xsi:type="dcterms:W3CDTF">2024-02-09T11:42:39Z</dcterms:modified>
</cp:coreProperties>
</file>