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pa\Desktop\IIT LECTURES\Sem-4\EE 230 Analog Lab\Lab_8\"/>
    </mc:Choice>
  </mc:AlternateContent>
  <xr:revisionPtr revIDLastSave="0" documentId="13_ncr:1_{D52DDB6B-2B55-4B4F-A4A6-6BA599B0FC7E}" xr6:coauthVersionLast="47" xr6:coauthVersionMax="47" xr10:uidLastSave="{00000000-0000-0000-0000-000000000000}"/>
  <bookViews>
    <workbookView xWindow="-120" yWindow="-120" windowWidth="29040" windowHeight="16440" xr2:uid="{9D61185D-758A-4575-A875-0B42311F538D}"/>
  </bookViews>
  <sheets>
    <sheet name="for_students" sheetId="3" r:id="rId1"/>
  </sheets>
  <definedNames>
    <definedName name="solver_adj" localSheetId="0" hidden="1">for_students!$H$2,for_students!$G$2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for_students!$E$29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D12" i="3"/>
  <c r="E12" i="3" s="1"/>
  <c r="D13" i="3"/>
  <c r="E13" i="3" s="1"/>
  <c r="D14" i="3"/>
  <c r="E14" i="3" s="1"/>
  <c r="D15" i="3"/>
  <c r="E15" i="3" s="1"/>
  <c r="D16" i="3"/>
  <c r="E16" i="3" s="1"/>
  <c r="D17" i="3"/>
  <c r="E17" i="3" s="1"/>
  <c r="D18" i="3"/>
  <c r="E18" i="3" s="1"/>
  <c r="D19" i="3"/>
  <c r="E19" i="3" s="1"/>
  <c r="D20" i="3"/>
  <c r="E20" i="3" s="1"/>
  <c r="D21" i="3"/>
  <c r="E21" i="3" s="1"/>
  <c r="D22" i="3"/>
  <c r="E22" i="3" s="1"/>
  <c r="D23" i="3"/>
  <c r="E23" i="3" s="1"/>
  <c r="D24" i="3"/>
  <c r="E24" i="3" s="1"/>
  <c r="D25" i="3"/>
  <c r="E25" i="3" s="1"/>
  <c r="D26" i="3"/>
  <c r="E26" i="3" s="1"/>
  <c r="D27" i="3"/>
  <c r="E27" i="3" s="1"/>
  <c r="D2" i="3"/>
  <c r="E2" i="3" s="1"/>
  <c r="I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" i="3"/>
  <c r="E29" i="3" l="1"/>
</calcChain>
</file>

<file path=xl/sharedStrings.xml><?xml version="1.0" encoding="utf-8"?>
<sst xmlns="http://schemas.openxmlformats.org/spreadsheetml/2006/main" count="8" uniqueCount="8">
  <si>
    <t>vgs</t>
  </si>
  <si>
    <t>ids</t>
  </si>
  <si>
    <t>sqrt(Ids_in)</t>
  </si>
  <si>
    <t>sqrt(Ids_f) = A*(Vgs-Vth)</t>
  </si>
  <si>
    <t>Error^2 = (sqrt(Ids_f) - sqrt(Ids_in))^2</t>
  </si>
  <si>
    <t>A</t>
  </si>
  <si>
    <t>Vth</t>
  </si>
  <si>
    <t>kn = 2* A^2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</si>
</sst>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for_students!$C$1</c:f>
              <c:strCache>
                <c:ptCount val="1"/>
                <c:pt idx="0">
                  <c:v>sqrt(Ids_in)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for_students!$A$2:$A$27</c:f>
              <c:numCache>
                <c:formatCode>General</c:formatCode>
                <c:ptCount val="26"/>
                <c:pt idx="0">
                  <c:v>0.1</c:v>
                </c:pt>
                <c:pt idx="1">
                  <c:v>0.3</c:v>
                </c:pt>
                <c:pt idx="2">
                  <c:v>0.5</c:v>
                </c:pt>
                <c:pt idx="3">
                  <c:v>0.7</c:v>
                </c:pt>
                <c:pt idx="4">
                  <c:v>0.9</c:v>
                </c:pt>
                <c:pt idx="5">
                  <c:v>1.1000000000000001</c:v>
                </c:pt>
                <c:pt idx="6">
                  <c:v>1.3</c:v>
                </c:pt>
                <c:pt idx="7">
                  <c:v>1.5</c:v>
                </c:pt>
                <c:pt idx="8">
                  <c:v>1.7</c:v>
                </c:pt>
                <c:pt idx="9">
                  <c:v>1.9</c:v>
                </c:pt>
                <c:pt idx="10">
                  <c:v>2.1</c:v>
                </c:pt>
                <c:pt idx="11">
                  <c:v>2.2999999999999998</c:v>
                </c:pt>
                <c:pt idx="12">
                  <c:v>2.5</c:v>
                </c:pt>
                <c:pt idx="13">
                  <c:v>2.7</c:v>
                </c:pt>
                <c:pt idx="14">
                  <c:v>2.9</c:v>
                </c:pt>
                <c:pt idx="15">
                  <c:v>3.1</c:v>
                </c:pt>
                <c:pt idx="16">
                  <c:v>3.3</c:v>
                </c:pt>
                <c:pt idx="17">
                  <c:v>3.5</c:v>
                </c:pt>
                <c:pt idx="18">
                  <c:v>3.7</c:v>
                </c:pt>
                <c:pt idx="19">
                  <c:v>3.9</c:v>
                </c:pt>
                <c:pt idx="20">
                  <c:v>4.0999999999999996</c:v>
                </c:pt>
                <c:pt idx="21">
                  <c:v>4.3</c:v>
                </c:pt>
                <c:pt idx="22">
                  <c:v>4.5</c:v>
                </c:pt>
                <c:pt idx="23">
                  <c:v>4.7</c:v>
                </c:pt>
                <c:pt idx="24">
                  <c:v>4.9000000000000004</c:v>
                </c:pt>
                <c:pt idx="25">
                  <c:v>5</c:v>
                </c:pt>
              </c:numCache>
            </c:numRef>
          </c:xVal>
          <c:yVal>
            <c:numRef>
              <c:f>for_students!$C$2:$C$27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1.0954451150103322E-3</c:v>
                </c:pt>
                <c:pt idx="4">
                  <c:v>4.0743097574926727E-3</c:v>
                </c:pt>
                <c:pt idx="5">
                  <c:v>7.5894663844041105E-3</c:v>
                </c:pt>
                <c:pt idx="6">
                  <c:v>1.1256109452204167E-2</c:v>
                </c:pt>
                <c:pt idx="7">
                  <c:v>1.4866068747318505E-2</c:v>
                </c:pt>
                <c:pt idx="8">
                  <c:v>1.8411952639521969E-2</c:v>
                </c:pt>
                <c:pt idx="9">
                  <c:v>2.2135943621178655E-2</c:v>
                </c:pt>
                <c:pt idx="10">
                  <c:v>2.5961509971494341E-2</c:v>
                </c:pt>
                <c:pt idx="11">
                  <c:v>2.9410882339705485E-2</c:v>
                </c:pt>
                <c:pt idx="12">
                  <c:v>3.2832910318764008E-2</c:v>
                </c:pt>
                <c:pt idx="13">
                  <c:v>3.605551275463989E-2</c:v>
                </c:pt>
                <c:pt idx="14">
                  <c:v>3.9446165846632041E-2</c:v>
                </c:pt>
                <c:pt idx="15">
                  <c:v>4.2614551505325032E-2</c:v>
                </c:pt>
                <c:pt idx="16">
                  <c:v>4.5607017003965515E-2</c:v>
                </c:pt>
                <c:pt idx="17">
                  <c:v>4.8476798574163288E-2</c:v>
                </c:pt>
                <c:pt idx="18">
                  <c:v>5.1768716422179138E-2</c:v>
                </c:pt>
                <c:pt idx="19">
                  <c:v>5.4772255750516613E-2</c:v>
                </c:pt>
                <c:pt idx="20">
                  <c:v>5.7706152185014035E-2</c:v>
                </c:pt>
                <c:pt idx="21">
                  <c:v>6.0745370193949759E-2</c:v>
                </c:pt>
                <c:pt idx="22">
                  <c:v>6.3560994328282813E-2</c:v>
                </c:pt>
                <c:pt idx="23">
                  <c:v>6.6257075093909781E-2</c:v>
                </c:pt>
                <c:pt idx="24">
                  <c:v>6.9065186599328032E-2</c:v>
                </c:pt>
                <c:pt idx="25">
                  <c:v>7.0356236397351446E-2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EE-4E79-982B-83889DF2B035}"/>
            </c:ext>
          </c:extLst>
        </c:ser>
        <c:ser>
          <c:idx val="1"/>
          <c:order val="1"/>
          <c:tx>
            <c:strRef>
              <c:f>for_students!$D$1</c:f>
              <c:strCache>
                <c:ptCount val="1"/>
                <c:pt idx="0">
                  <c:v>sqrt(Ids_f) = A*(Vgs-Vth)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for_students!$A$2:$A$27</c:f>
              <c:numCache>
                <c:formatCode>General</c:formatCode>
                <c:ptCount val="26"/>
                <c:pt idx="0">
                  <c:v>0.1</c:v>
                </c:pt>
                <c:pt idx="1">
                  <c:v>0.3</c:v>
                </c:pt>
                <c:pt idx="2">
                  <c:v>0.5</c:v>
                </c:pt>
                <c:pt idx="3">
                  <c:v>0.7</c:v>
                </c:pt>
                <c:pt idx="4">
                  <c:v>0.9</c:v>
                </c:pt>
                <c:pt idx="5">
                  <c:v>1.1000000000000001</c:v>
                </c:pt>
                <c:pt idx="6">
                  <c:v>1.3</c:v>
                </c:pt>
                <c:pt idx="7">
                  <c:v>1.5</c:v>
                </c:pt>
                <c:pt idx="8">
                  <c:v>1.7</c:v>
                </c:pt>
                <c:pt idx="9">
                  <c:v>1.9</c:v>
                </c:pt>
                <c:pt idx="10">
                  <c:v>2.1</c:v>
                </c:pt>
                <c:pt idx="11">
                  <c:v>2.2999999999999998</c:v>
                </c:pt>
                <c:pt idx="12">
                  <c:v>2.5</c:v>
                </c:pt>
                <c:pt idx="13">
                  <c:v>2.7</c:v>
                </c:pt>
                <c:pt idx="14">
                  <c:v>2.9</c:v>
                </c:pt>
                <c:pt idx="15">
                  <c:v>3.1</c:v>
                </c:pt>
                <c:pt idx="16">
                  <c:v>3.3</c:v>
                </c:pt>
                <c:pt idx="17">
                  <c:v>3.5</c:v>
                </c:pt>
                <c:pt idx="18">
                  <c:v>3.7</c:v>
                </c:pt>
                <c:pt idx="19">
                  <c:v>3.9</c:v>
                </c:pt>
                <c:pt idx="20">
                  <c:v>4.0999999999999996</c:v>
                </c:pt>
                <c:pt idx="21">
                  <c:v>4.3</c:v>
                </c:pt>
                <c:pt idx="22">
                  <c:v>4.5</c:v>
                </c:pt>
                <c:pt idx="23">
                  <c:v>4.7</c:v>
                </c:pt>
                <c:pt idx="24">
                  <c:v>4.9000000000000004</c:v>
                </c:pt>
                <c:pt idx="25">
                  <c:v>5</c:v>
                </c:pt>
              </c:numCache>
            </c:numRef>
          </c:xVal>
          <c:yVal>
            <c:numRef>
              <c:f>for_students!$D$2:$D$27</c:f>
              <c:numCache>
                <c:formatCode>General</c:formatCode>
                <c:ptCount val="26"/>
                <c:pt idx="0">
                  <c:v>-5.9863178607235659E-3</c:v>
                </c:pt>
                <c:pt idx="1">
                  <c:v>-2.8275495500222408E-3</c:v>
                </c:pt>
                <c:pt idx="2">
                  <c:v>3.312187606790853E-4</c:v>
                </c:pt>
                <c:pt idx="3">
                  <c:v>3.4899870713804102E-3</c:v>
                </c:pt>
                <c:pt idx="4">
                  <c:v>6.648755382081737E-3</c:v>
                </c:pt>
                <c:pt idx="5">
                  <c:v>9.8075236927830638E-3</c:v>
                </c:pt>
                <c:pt idx="6">
                  <c:v>1.2966292003484389E-2</c:v>
                </c:pt>
                <c:pt idx="7">
                  <c:v>1.6125060314185712E-2</c:v>
                </c:pt>
                <c:pt idx="8">
                  <c:v>1.9283828624887037E-2</c:v>
                </c:pt>
                <c:pt idx="9">
                  <c:v>2.2442596935588362E-2</c:v>
                </c:pt>
                <c:pt idx="10">
                  <c:v>2.5601365246289691E-2</c:v>
                </c:pt>
                <c:pt idx="11">
                  <c:v>2.8760133556991013E-2</c:v>
                </c:pt>
                <c:pt idx="12">
                  <c:v>3.1918901867692348E-2</c:v>
                </c:pt>
                <c:pt idx="13">
                  <c:v>3.5077670178393673E-2</c:v>
                </c:pt>
                <c:pt idx="14">
                  <c:v>3.8236438489094998E-2</c:v>
                </c:pt>
                <c:pt idx="15">
                  <c:v>4.1395206799796323E-2</c:v>
                </c:pt>
                <c:pt idx="16">
                  <c:v>4.4553975110497648E-2</c:v>
                </c:pt>
                <c:pt idx="17">
                  <c:v>4.7712743421198973E-2</c:v>
                </c:pt>
                <c:pt idx="18">
                  <c:v>5.0871511731900305E-2</c:v>
                </c:pt>
                <c:pt idx="19">
                  <c:v>5.4030280042601624E-2</c:v>
                </c:pt>
                <c:pt idx="20">
                  <c:v>5.7189048353302949E-2</c:v>
                </c:pt>
                <c:pt idx="21">
                  <c:v>6.0347816664004274E-2</c:v>
                </c:pt>
                <c:pt idx="22">
                  <c:v>6.3506584974705599E-2</c:v>
                </c:pt>
                <c:pt idx="23">
                  <c:v>6.6665353285406931E-2</c:v>
                </c:pt>
                <c:pt idx="24">
                  <c:v>6.9824121596108263E-2</c:v>
                </c:pt>
                <c:pt idx="25">
                  <c:v>7.1403505751458915E-2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EE-4E79-982B-83889DF2B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6927232"/>
        <c:axId val="1354924160"/>
      </c:scatterChart>
      <c:valAx>
        <c:axId val="128692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924160"/>
        <c:crosses val="autoZero"/>
        <c:crossBetween val="midCat"/>
      </c:valAx>
      <c:valAx>
        <c:axId val="135492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927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12</xdr:row>
      <xdr:rowOff>85725</xdr:rowOff>
    </xdr:from>
    <xdr:to>
      <xdr:col>15</xdr:col>
      <xdr:colOff>342900</xdr:colOff>
      <xdr:row>26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A7110C-DE27-3315-3EDA-39F1E45872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FFC25-8177-4977-BBF5-AE2CBA57B658}">
  <dimension ref="A1:I29"/>
  <sheetViews>
    <sheetView tabSelected="1" workbookViewId="0">
      <selection activeCell="H2" sqref="H2"/>
    </sheetView>
  </sheetViews>
  <sheetFormatPr defaultRowHeight="15" x14ac:dyDescent="0.25"/>
  <cols>
    <col min="1" max="1" width="4" bestFit="1" customWidth="1"/>
    <col min="2" max="2" width="8.28515625" bestFit="1" customWidth="1"/>
    <col min="3" max="3" width="12" bestFit="1" customWidth="1"/>
    <col min="4" max="4" width="23.140625" bestFit="1" customWidth="1"/>
    <col min="5" max="5" width="34.28515625" bestFit="1" customWidth="1"/>
    <col min="7" max="8" width="12" bestFit="1" customWidth="1"/>
    <col min="9" max="9" width="10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0.1</v>
      </c>
      <c r="B2">
        <v>0</v>
      </c>
      <c r="C2">
        <f>B2^0.5</f>
        <v>0</v>
      </c>
      <c r="D2">
        <f>G$2*(A2-H$2)</f>
        <v>-5.9863178607235659E-3</v>
      </c>
      <c r="E2">
        <f>(D2-C2)^2</f>
        <v>3.5836001529617972E-5</v>
      </c>
      <c r="G2">
        <v>1.5793841553506629E-2</v>
      </c>
      <c r="H2">
        <v>0.47902861317451001</v>
      </c>
      <c r="I2">
        <f>2*(G2*G2)</f>
        <v>4.9889086203454541E-4</v>
      </c>
    </row>
    <row r="3" spans="1:9" x14ac:dyDescent="0.25">
      <c r="A3">
        <v>0.3</v>
      </c>
      <c r="B3">
        <v>0</v>
      </c>
      <c r="C3">
        <f t="shared" ref="C3:C27" si="0">B3^0.5</f>
        <v>0</v>
      </c>
      <c r="D3">
        <f t="shared" ref="D3:D27" si="1">G$2*(A3-H$2)</f>
        <v>-2.8275495500222408E-3</v>
      </c>
      <c r="E3">
        <f t="shared" ref="E3:E27" si="2">(D3-C3)^2</f>
        <v>7.9950364578309767E-6</v>
      </c>
    </row>
    <row r="4" spans="1:9" x14ac:dyDescent="0.25">
      <c r="A4">
        <v>0.5</v>
      </c>
      <c r="B4">
        <v>0</v>
      </c>
      <c r="C4">
        <f t="shared" si="0"/>
        <v>0</v>
      </c>
      <c r="D4">
        <f t="shared" si="1"/>
        <v>3.312187606790853E-4</v>
      </c>
      <c r="E4">
        <f t="shared" si="2"/>
        <v>1.0970586742578918E-7</v>
      </c>
    </row>
    <row r="5" spans="1:9" x14ac:dyDescent="0.25">
      <c r="A5">
        <v>0.7</v>
      </c>
      <c r="B5" s="1">
        <v>1.1999999999999999E-6</v>
      </c>
      <c r="C5">
        <f t="shared" si="0"/>
        <v>1.0954451150103322E-3</v>
      </c>
      <c r="D5">
        <f t="shared" si="1"/>
        <v>3.4899870713804102E-3</v>
      </c>
      <c r="E5">
        <f t="shared" si="2"/>
        <v>5.7338311808166398E-6</v>
      </c>
    </row>
    <row r="6" spans="1:9" x14ac:dyDescent="0.25">
      <c r="A6">
        <v>0.9</v>
      </c>
      <c r="B6" s="1">
        <v>1.66E-5</v>
      </c>
      <c r="C6">
        <f t="shared" si="0"/>
        <v>4.0743097574926727E-3</v>
      </c>
      <c r="D6">
        <f t="shared" si="1"/>
        <v>6.648755382081737E-3</v>
      </c>
      <c r="E6">
        <f t="shared" si="2"/>
        <v>6.627770273965778E-6</v>
      </c>
    </row>
    <row r="7" spans="1:9" x14ac:dyDescent="0.25">
      <c r="A7">
        <v>1.1000000000000001</v>
      </c>
      <c r="B7" s="1">
        <v>5.7599999999999997E-5</v>
      </c>
      <c r="C7">
        <f t="shared" si="0"/>
        <v>7.5894663844041105E-3</v>
      </c>
      <c r="D7">
        <f t="shared" si="1"/>
        <v>9.8075236927830638E-3</v>
      </c>
      <c r="E7">
        <f t="shared" si="2"/>
        <v>4.9197782232532868E-6</v>
      </c>
    </row>
    <row r="8" spans="1:9" x14ac:dyDescent="0.25">
      <c r="A8">
        <v>1.3</v>
      </c>
      <c r="B8" s="1">
        <v>1.2669999999999999E-4</v>
      </c>
      <c r="C8">
        <f t="shared" si="0"/>
        <v>1.1256109452204167E-2</v>
      </c>
      <c r="D8">
        <f t="shared" si="1"/>
        <v>1.2966292003484389E-2</v>
      </c>
      <c r="E8">
        <f t="shared" si="2"/>
        <v>2.9247243587033298E-6</v>
      </c>
    </row>
    <row r="9" spans="1:9" x14ac:dyDescent="0.25">
      <c r="A9">
        <v>1.5</v>
      </c>
      <c r="B9" s="1">
        <v>2.2100000000000001E-4</v>
      </c>
      <c r="C9">
        <f t="shared" si="0"/>
        <v>1.4866068747318505E-2</v>
      </c>
      <c r="D9">
        <f t="shared" si="1"/>
        <v>1.6125060314185712E-2</v>
      </c>
      <c r="E9">
        <f t="shared" si="2"/>
        <v>1.5850597654427447E-6</v>
      </c>
    </row>
    <row r="10" spans="1:9" x14ac:dyDescent="0.25">
      <c r="A10">
        <v>1.7</v>
      </c>
      <c r="B10" s="1">
        <v>3.39E-4</v>
      </c>
      <c r="C10">
        <f t="shared" si="0"/>
        <v>1.8411952639521969E-2</v>
      </c>
      <c r="D10">
        <f t="shared" si="1"/>
        <v>1.9283828624887037E-2</v>
      </c>
      <c r="E10">
        <f t="shared" si="2"/>
        <v>7.6016773385630901E-7</v>
      </c>
    </row>
    <row r="11" spans="1:9" x14ac:dyDescent="0.25">
      <c r="A11">
        <v>1.9</v>
      </c>
      <c r="B11" s="1">
        <v>4.8999999999999998E-4</v>
      </c>
      <c r="C11">
        <f t="shared" si="0"/>
        <v>2.2135943621178655E-2</v>
      </c>
      <c r="D11">
        <f t="shared" si="1"/>
        <v>2.2442596935588362E-2</v>
      </c>
      <c r="E11">
        <f t="shared" si="2"/>
        <v>9.4036255238458668E-8</v>
      </c>
    </row>
    <row r="12" spans="1:9" x14ac:dyDescent="0.25">
      <c r="A12">
        <v>2.1</v>
      </c>
      <c r="B12" s="1">
        <v>6.7400000000000001E-4</v>
      </c>
      <c r="C12">
        <f t="shared" si="0"/>
        <v>2.5961509971494341E-2</v>
      </c>
      <c r="D12">
        <f t="shared" si="1"/>
        <v>2.5601365246289691E-2</v>
      </c>
      <c r="E12">
        <f t="shared" si="2"/>
        <v>1.2970422309273253E-7</v>
      </c>
    </row>
    <row r="13" spans="1:9" x14ac:dyDescent="0.25">
      <c r="A13">
        <v>2.2999999999999998</v>
      </c>
      <c r="B13" s="1">
        <v>8.6499999999999999E-4</v>
      </c>
      <c r="C13">
        <f t="shared" si="0"/>
        <v>2.9410882339705485E-2</v>
      </c>
      <c r="D13">
        <f t="shared" si="1"/>
        <v>2.8760133556991013E-2</v>
      </c>
      <c r="E13">
        <f t="shared" si="2"/>
        <v>4.2347397820436803E-7</v>
      </c>
    </row>
    <row r="14" spans="1:9" x14ac:dyDescent="0.25">
      <c r="A14">
        <v>2.5</v>
      </c>
      <c r="B14" s="1">
        <v>1.078E-3</v>
      </c>
      <c r="C14">
        <f t="shared" si="0"/>
        <v>3.2832910318764008E-2</v>
      </c>
      <c r="D14">
        <f t="shared" si="1"/>
        <v>3.1918901867692348E-2</v>
      </c>
      <c r="E14">
        <f t="shared" si="2"/>
        <v>8.3541144863041518E-7</v>
      </c>
    </row>
    <row r="15" spans="1:9" x14ac:dyDescent="0.25">
      <c r="A15">
        <v>2.7</v>
      </c>
      <c r="B15" s="1">
        <v>1.2999999999999999E-3</v>
      </c>
      <c r="C15">
        <f t="shared" si="0"/>
        <v>3.605551275463989E-2</v>
      </c>
      <c r="D15">
        <f t="shared" si="1"/>
        <v>3.5077670178393673E-2</v>
      </c>
      <c r="E15">
        <f t="shared" si="2"/>
        <v>9.5617610391983869E-7</v>
      </c>
    </row>
    <row r="16" spans="1:9" x14ac:dyDescent="0.25">
      <c r="A16">
        <v>2.9</v>
      </c>
      <c r="B16" s="1">
        <v>1.5560000000000001E-3</v>
      </c>
      <c r="C16">
        <f t="shared" si="0"/>
        <v>3.9446165846632041E-2</v>
      </c>
      <c r="D16">
        <f t="shared" si="1"/>
        <v>3.8236438489094998E-2</v>
      </c>
      <c r="E16">
        <f t="shared" si="2"/>
        <v>1.4634402795735552E-6</v>
      </c>
    </row>
    <row r="17" spans="1:5" x14ac:dyDescent="0.25">
      <c r="A17">
        <v>3.1</v>
      </c>
      <c r="B17" s="1">
        <v>1.8159999999999999E-3</v>
      </c>
      <c r="C17">
        <f t="shared" si="0"/>
        <v>4.2614551505325032E-2</v>
      </c>
      <c r="D17">
        <f t="shared" si="1"/>
        <v>4.1395206799796323E-2</v>
      </c>
      <c r="E17">
        <f t="shared" si="2"/>
        <v>1.4868015109008942E-6</v>
      </c>
    </row>
    <row r="18" spans="1:5" x14ac:dyDescent="0.25">
      <c r="A18">
        <v>3.3</v>
      </c>
      <c r="B18" s="1">
        <v>2.0799999999999998E-3</v>
      </c>
      <c r="C18">
        <f t="shared" si="0"/>
        <v>4.5607017003965515E-2</v>
      </c>
      <c r="D18">
        <f t="shared" si="1"/>
        <v>4.4553975110497648E-2</v>
      </c>
      <c r="E18">
        <f t="shared" si="2"/>
        <v>1.10889722939839E-6</v>
      </c>
    </row>
    <row r="19" spans="1:5" x14ac:dyDescent="0.25">
      <c r="A19">
        <v>3.5</v>
      </c>
      <c r="B19" s="1">
        <v>2.3500000000000001E-3</v>
      </c>
      <c r="C19">
        <f t="shared" si="0"/>
        <v>4.8476798574163288E-2</v>
      </c>
      <c r="D19">
        <f t="shared" si="1"/>
        <v>4.7712743421198973E-2</v>
      </c>
      <c r="E19">
        <f t="shared" si="2"/>
        <v>5.8378027677132191E-7</v>
      </c>
    </row>
    <row r="20" spans="1:5" x14ac:dyDescent="0.25">
      <c r="A20">
        <v>3.7</v>
      </c>
      <c r="B20" s="1">
        <v>2.6800000000000001E-3</v>
      </c>
      <c r="C20">
        <f t="shared" si="0"/>
        <v>5.1768716422179138E-2</v>
      </c>
      <c r="D20">
        <f t="shared" si="1"/>
        <v>5.0871511731900305E-2</v>
      </c>
      <c r="E20">
        <f t="shared" si="2"/>
        <v>8.0497625625833623E-7</v>
      </c>
    </row>
    <row r="21" spans="1:5" x14ac:dyDescent="0.25">
      <c r="A21">
        <v>3.9</v>
      </c>
      <c r="B21" s="1">
        <v>3.0000000000000001E-3</v>
      </c>
      <c r="C21">
        <f t="shared" si="0"/>
        <v>5.4772255750516613E-2</v>
      </c>
      <c r="D21">
        <f t="shared" si="1"/>
        <v>5.4030280042601624E-2</v>
      </c>
      <c r="E21">
        <f t="shared" si="2"/>
        <v>5.5052795113594966E-7</v>
      </c>
    </row>
    <row r="22" spans="1:5" x14ac:dyDescent="0.25">
      <c r="A22">
        <v>4.0999999999999996</v>
      </c>
      <c r="B22" s="1">
        <v>3.3300000000000001E-3</v>
      </c>
      <c r="C22">
        <f t="shared" si="0"/>
        <v>5.7706152185014035E-2</v>
      </c>
      <c r="D22">
        <f t="shared" si="1"/>
        <v>5.7189048353302949E-2</v>
      </c>
      <c r="E22">
        <f t="shared" si="2"/>
        <v>2.67396372770288E-7</v>
      </c>
    </row>
    <row r="23" spans="1:5" x14ac:dyDescent="0.25">
      <c r="A23">
        <v>4.3</v>
      </c>
      <c r="B23" s="1">
        <v>3.6900000000000001E-3</v>
      </c>
      <c r="C23">
        <f t="shared" si="0"/>
        <v>6.0745370193949759E-2</v>
      </c>
      <c r="D23">
        <f t="shared" si="1"/>
        <v>6.0347816664004274E-2</v>
      </c>
      <c r="E23">
        <f t="shared" si="2"/>
        <v>1.5804880917211581E-7</v>
      </c>
    </row>
    <row r="24" spans="1:5" x14ac:dyDescent="0.25">
      <c r="A24">
        <v>4.5</v>
      </c>
      <c r="B24" s="1">
        <v>4.0400000000000002E-3</v>
      </c>
      <c r="C24">
        <f t="shared" si="0"/>
        <v>6.3560994328282813E-2</v>
      </c>
      <c r="D24">
        <f t="shared" si="1"/>
        <v>6.3506584974705599E-2</v>
      </c>
      <c r="E24">
        <f t="shared" si="2"/>
        <v>2.9603777566903375E-9</v>
      </c>
    </row>
    <row r="25" spans="1:5" x14ac:dyDescent="0.25">
      <c r="A25">
        <v>4.7</v>
      </c>
      <c r="B25" s="1">
        <v>4.3899999999999998E-3</v>
      </c>
      <c r="C25">
        <f t="shared" si="0"/>
        <v>6.6257075093909781E-2</v>
      </c>
      <c r="D25">
        <f t="shared" si="1"/>
        <v>6.6665353285406931E-2</v>
      </c>
      <c r="E25">
        <f t="shared" si="2"/>
        <v>1.6669108165218307E-7</v>
      </c>
    </row>
    <row r="26" spans="1:5" x14ac:dyDescent="0.25">
      <c r="A26">
        <v>4.9000000000000004</v>
      </c>
      <c r="B26" s="1">
        <v>4.7699999999999999E-3</v>
      </c>
      <c r="C26">
        <f t="shared" si="0"/>
        <v>6.9065186599328032E-2</v>
      </c>
      <c r="D26">
        <f t="shared" si="1"/>
        <v>6.9824121596108263E-2</v>
      </c>
      <c r="E26">
        <f t="shared" si="2"/>
        <v>5.7598232933780863E-7</v>
      </c>
    </row>
    <row r="27" spans="1:5" x14ac:dyDescent="0.25">
      <c r="A27">
        <v>5</v>
      </c>
      <c r="B27" s="1">
        <v>4.9500000000000004E-3</v>
      </c>
      <c r="C27">
        <f t="shared" si="0"/>
        <v>7.0356236397351446E-2</v>
      </c>
      <c r="D27">
        <f t="shared" si="1"/>
        <v>7.1403505751458915E-2</v>
      </c>
      <c r="E27">
        <f t="shared" si="2"/>
        <v>1.0967731000526754E-6</v>
      </c>
    </row>
    <row r="29" spans="1:5" x14ac:dyDescent="0.25">
      <c r="E29">
        <f>SUM(E2:E27)</f>
        <v>7.7197152974778867E-5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for_students</vt:lpstr>
    </vt:vector>
  </TitlesOfParts>
  <Manager/>
  <Company>Indian Institute Of Technology Bombay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Student</dc:creator>
  <cp:keywords/>
  <dc:description/>
  <cp:lastModifiedBy>Anupam Rawat</cp:lastModifiedBy>
  <cp:revision/>
  <dcterms:created xsi:type="dcterms:W3CDTF">2023-05-29T11:17:31Z</dcterms:created>
  <dcterms:modified xsi:type="dcterms:W3CDTF">2024-03-07T11:40:13Z</dcterms:modified>
  <cp:category/>
  <cp:contentStatus/>
</cp:coreProperties>
</file>